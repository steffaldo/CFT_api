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am.sharepoint.com/sites/BUDairy/Shared Documents/Sustainability Global Dairy/Projects and Key Accounts/Poland Program/Polmlek/Lacpol/annual GHG assement/2025/"/>
    </mc:Choice>
  </mc:AlternateContent>
  <xr:revisionPtr revIDLastSave="14" documentId="8_{ECA56980-68F2-4D6E-B9F8-EDFC11A54323}" xr6:coauthVersionLast="47" xr6:coauthVersionMax="47" xr10:uidLastSave="{CFA780A0-26B0-493E-B31B-8C6367E0CBD2}"/>
  <bookViews>
    <workbookView xWindow="-120" yWindow="-120" windowWidth="29040" windowHeight="15720" xr2:uid="{E3FC4C37-78D9-4F58-9BAF-D10E5CD83C9D}"/>
  </bookViews>
  <sheets>
    <sheet name="Survey_ENG" sheetId="1" r:id="rId1"/>
  </sheets>
  <definedNames>
    <definedName name="_xlnm.Print_Area" localSheetId="0">Survey_ENG!$A$1:$T$151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1" l="1"/>
  <c r="E96" i="1"/>
  <c r="F96" i="1"/>
  <c r="C96" i="1"/>
  <c r="C130" i="1"/>
  <c r="C127" i="1"/>
  <c r="C125" i="1"/>
  <c r="C129" i="1"/>
  <c r="C128" i="1"/>
  <c r="C126" i="1" l="1"/>
</calcChain>
</file>

<file path=xl/sharedStrings.xml><?xml version="1.0" encoding="utf-8"?>
<sst xmlns="http://schemas.openxmlformats.org/spreadsheetml/2006/main" count="214" uniqueCount="176">
  <si>
    <t>2025 ankieta roczna gospodarstwa</t>
  </si>
  <si>
    <t>Proszę wypełnić wszystkie żółte pola</t>
  </si>
  <si>
    <t>Deklaracja: Rolnik potwierdza, że dostarczone informacje są prawidłowe i daje OFI prawo do wykorzystania danych do oceny emisji dwutlenku węgla.</t>
  </si>
  <si>
    <t>Dane gospodarstwa</t>
  </si>
  <si>
    <t>Nazwa gospodarstwa</t>
  </si>
  <si>
    <t>Gospodarstwo Rolne Błażej Włodarski</t>
  </si>
  <si>
    <t>Adres</t>
  </si>
  <si>
    <t>Sędzin-Kolonia 28, 87-706 Sędzin</t>
  </si>
  <si>
    <t>Imię i nazwisko</t>
  </si>
  <si>
    <t>Błażej Włodarski</t>
  </si>
  <si>
    <t>Telefon kontaktowy</t>
  </si>
  <si>
    <t>Produkcja mleka (UZUPEŁNIA MLECZARNIA)</t>
  </si>
  <si>
    <t>odpowiedź:</t>
  </si>
  <si>
    <t>Ankieta za pełny rok</t>
  </si>
  <si>
    <t>od 1.01 do 31.12</t>
  </si>
  <si>
    <t>Całkowita produkcja mleka</t>
  </si>
  <si>
    <t>litry</t>
  </si>
  <si>
    <t>Zawartość tłuszczu</t>
  </si>
  <si>
    <r>
      <rPr>
        <sz val="36"/>
        <color indexed="8"/>
        <rFont val="Calibri"/>
        <family val="2"/>
      </rPr>
      <t>%</t>
    </r>
  </si>
  <si>
    <t>Zawartość białka</t>
  </si>
  <si>
    <t>Komórki somatyczne</t>
  </si>
  <si>
    <t>średnia LKS/ml</t>
  </si>
  <si>
    <t>Stado</t>
  </si>
  <si>
    <t>Proszę wpisać średnią liczbę zwierząt w gospodarstwie w 2025 r., liczbę sprzedanych zwierząt i liczbę zakupionych zwierząt.</t>
  </si>
  <si>
    <t>Odpowiedź:</t>
  </si>
  <si>
    <t>Główna rasa krów</t>
  </si>
  <si>
    <t>HF</t>
  </si>
  <si>
    <t>HF / Fleckvieh / Fresian / Jersey / Montbeliarde / Simmental</t>
  </si>
  <si>
    <t>W gospodarstwie</t>
  </si>
  <si>
    <t>Sprzedane zwierzęta</t>
  </si>
  <si>
    <t>Zakupione zwierzęta</t>
  </si>
  <si>
    <t>liczba</t>
  </si>
  <si>
    <t>śr. waga (kg/szt)*</t>
  </si>
  <si>
    <t>Cieliczki</t>
  </si>
  <si>
    <t>0-1 rok</t>
  </si>
  <si>
    <t>Jałówki</t>
  </si>
  <si>
    <t>od 13 miesięcy do pierwszego wycielenia</t>
  </si>
  <si>
    <t>Krowy w doju</t>
  </si>
  <si>
    <t>krowy mleczne w doju</t>
  </si>
  <si>
    <t>Krowy zasuszone</t>
  </si>
  <si>
    <t>niedojone krowy mleczne</t>
  </si>
  <si>
    <t>* można modyfikować jeśli waga znacząco waga się różni</t>
  </si>
  <si>
    <t>Wypas</t>
  </si>
  <si>
    <t>Proszę podać  liczbę dni i średnią liczbę godzin dziennie w okresie wypasu oraz wybrać jakość wypasu.</t>
  </si>
  <si>
    <t>Dni wypasu w ciągu roku</t>
  </si>
  <si>
    <t>Liczba godzin/dzień</t>
  </si>
  <si>
    <t>Jakość wypasu</t>
  </si>
  <si>
    <t>Wysoka (TUZy wcześniej nawożone) / niska (TUZy bez nawożenia wcześniej, np. obornikiem)</t>
  </si>
  <si>
    <t>Wysoka/niska</t>
  </si>
  <si>
    <t>Użytki zielone i kiszonka z kukurydzy (bez lucerny)</t>
  </si>
  <si>
    <t>TUZy (ha)</t>
  </si>
  <si>
    <t>Kukurydza (ha)</t>
  </si>
  <si>
    <t>Zebrana ilość kiszonki z kukurydzy/ha</t>
  </si>
  <si>
    <t>Ile ha? (użytków własnych i dzierżawionych)</t>
  </si>
  <si>
    <t>Wskaż średnią dawkę nawozu (t) na 1 hektar:</t>
  </si>
  <si>
    <t>Typ nawozu</t>
  </si>
  <si>
    <t>TUZy (t/ha)</t>
  </si>
  <si>
    <t>Kukurydza (t/ha)</t>
  </si>
  <si>
    <t>Gnojowica</t>
  </si>
  <si>
    <t>Obornik</t>
  </si>
  <si>
    <t>Polifoska NPK (5-6%N)</t>
  </si>
  <si>
    <t>Saletra amonowa - 34% N</t>
  </si>
  <si>
    <t>RSM -28-32% N</t>
  </si>
  <si>
    <t>Mocznik - 46% N</t>
  </si>
  <si>
    <t>Saletrzak - 27% N</t>
  </si>
  <si>
    <t>Saletran/Saletrosan (26% N, 13% S)</t>
  </si>
  <si>
    <t>Wapno</t>
  </si>
  <si>
    <t>KCl - Sól potasowa</t>
  </si>
  <si>
    <t>Żywienie</t>
  </si>
  <si>
    <t xml:space="preserve">Wskaż średnie spożycie paszy dziennie na daną grupę zwierząt. Resztki nie są brane pod uwagę. 
Jeśli grupa zwierząt (np. cielaki) otrzymuje resztki od innej grupy zwierząt, nie uwzględnia się tego w ankiecie. </t>
  </si>
  <si>
    <t>TMR</t>
  </si>
  <si>
    <t>Masa sucha</t>
  </si>
  <si>
    <t>Wyżywienie w kg podane jako:</t>
  </si>
  <si>
    <t>x</t>
  </si>
  <si>
    <t>zaznacz "X" opowiednią komórkę</t>
  </si>
  <si>
    <t>1 sztukę zwierzęcia</t>
  </si>
  <si>
    <t>Całą grupę zwięrząt</t>
  </si>
  <si>
    <t>Wyżywienie podane na:</t>
  </si>
  <si>
    <t>1 dzień</t>
  </si>
  <si>
    <t>Więcej dni (wskaż ile)</t>
  </si>
  <si>
    <t>Wyżywienie podane na okres:</t>
  </si>
  <si>
    <t>Pasza (kg)</t>
  </si>
  <si>
    <t>Cieliczki - w 8 miesiącu życia</t>
  </si>
  <si>
    <t>Jałówki (13 miesiąc do wycielenia) - w 18-20 miesiącu życia</t>
  </si>
  <si>
    <t>Grass fresh managed - on farm</t>
  </si>
  <si>
    <t>Kiszonka z kukurydzy + CCM</t>
  </si>
  <si>
    <t>Kiszonka z trawy</t>
  </si>
  <si>
    <t>Kiszonka z lucerny</t>
  </si>
  <si>
    <t>Siano z trawy</t>
  </si>
  <si>
    <t>Słoma</t>
  </si>
  <si>
    <t>Pszenica</t>
  </si>
  <si>
    <t>Pszenżyto</t>
  </si>
  <si>
    <t>Owies</t>
  </si>
  <si>
    <t>Żyto</t>
  </si>
  <si>
    <t>Jęczmień</t>
  </si>
  <si>
    <t>Ziarno kukurydzy</t>
  </si>
  <si>
    <t>Śruta rzepakowa</t>
  </si>
  <si>
    <t>Mieszanka paszowa: 15% soja</t>
  </si>
  <si>
    <t>Mieszanka paszowa wysokobiałkowa: 8% soja</t>
  </si>
  <si>
    <t>Mieszanka paszowa wysokobiałkowa: 46% soja</t>
  </si>
  <si>
    <t>Śruta sojowa</t>
  </si>
  <si>
    <t>Soja (pełne nasiona)</t>
  </si>
  <si>
    <t>Wysłodki buraczane kiszone</t>
  </si>
  <si>
    <t>Wysłodki buraczane suche</t>
  </si>
  <si>
    <t>Melasa</t>
  </si>
  <si>
    <t>DDGS (wywar gorzelniany)</t>
  </si>
  <si>
    <t>Młóto browarne</t>
  </si>
  <si>
    <t>Len ekstrudowany</t>
  </si>
  <si>
    <t>Minerały (witaminy)</t>
  </si>
  <si>
    <t>Tłuszcze paszowe</t>
  </si>
  <si>
    <t>Suma pasz</t>
  </si>
  <si>
    <t>Proszę opisać sposób zarządzania obornikiem dla każdej kategorii zwierząt.</t>
  </si>
  <si>
    <t>Kategoria zwierząt</t>
  </si>
  <si>
    <t>Numer:</t>
  </si>
  <si>
    <t>Wybierz numer odpowiadającą systemowi obornika:</t>
  </si>
  <si>
    <t>1) Płytka ściółka (zbiornik na gnojówkę + płyta obornikowa)</t>
  </si>
  <si>
    <t>2) Głęboka ściółka</t>
  </si>
  <si>
    <t>3) Zbiornik na gnojowicę pod oborą</t>
  </si>
  <si>
    <t>4) Zbiornik zewnętrzny na gnojowicę zakryty</t>
  </si>
  <si>
    <t>5) Zbiornik zewnętrzny na gnojowicę odkryty</t>
  </si>
  <si>
    <t>6) Biogazownia</t>
  </si>
  <si>
    <t>Materiał ściółkowy dla zwierząt</t>
  </si>
  <si>
    <t xml:space="preserve">Rodzaj materiału ściółkowego </t>
  </si>
  <si>
    <t>np. słoma, piasek, trociny, inne</t>
  </si>
  <si>
    <t>Całkowita ilość na rok</t>
  </si>
  <si>
    <t>w tonach</t>
  </si>
  <si>
    <t>Zużycie energii w gospodarstwie</t>
  </si>
  <si>
    <t>Uwzględnij tylko energię zużytą w oborze (np. do dojenia i karmienia - wóz paszowy) oraz do produkcji siana i kiszonki.</t>
  </si>
  <si>
    <t>Diesel</t>
  </si>
  <si>
    <t>Energia elektryczna z sieci</t>
  </si>
  <si>
    <t>kWh</t>
  </si>
  <si>
    <t>Energia elektryczna z OZE</t>
  </si>
  <si>
    <t xml:space="preserve">Benzyna </t>
  </si>
  <si>
    <t xml:space="preserve">Gaz </t>
  </si>
  <si>
    <t>M3</t>
  </si>
  <si>
    <t>Transport</t>
  </si>
  <si>
    <t>nawozy</t>
  </si>
  <si>
    <t>t</t>
  </si>
  <si>
    <t>zakupiona pasza</t>
  </si>
  <si>
    <t>Krowy dojne</t>
  </si>
  <si>
    <t>Zarządzanie gospodarstwem w 2025 r.</t>
  </si>
  <si>
    <t>Pytanie:</t>
  </si>
  <si>
    <t>Jaka jest wielkość gospodarstwa w ha? (użytki własne i w dzierżawie)</t>
  </si>
  <si>
    <t>ha</t>
  </si>
  <si>
    <t>Czy skorzystałeś z Ekoschematu "Plan nawożenia"?</t>
  </si>
  <si>
    <t>TAK</t>
  </si>
  <si>
    <t>tak/nie</t>
  </si>
  <si>
    <t>Na jakim % gruntów ornych (bez TUZów) była stosowania uprawa minimalna?</t>
  </si>
  <si>
    <t>Mniej niż 30%</t>
  </si>
  <si>
    <t>mniej jak 30% / więcej jak 30% / więcej jak 50% / powyżej 70%</t>
  </si>
  <si>
    <t>Jaki jest % gruntów ornych (bez TUZów) pokrytych przez co najmniej 10 miesięcy uprawami, roślinami okrywowymi, trawami, resztkami roślinnymi lub ściółką?</t>
  </si>
  <si>
    <t>mniej niż 30% / więcej niż 30% / więcej niż 50% / więcej jak 70%</t>
  </si>
  <si>
    <t>Ile różnych rodzajów upraw jest uprawianych na Twojej ziemi w ciągu ostatnich 3 lat wliczając poplony?</t>
  </si>
  <si>
    <t>od 4 do 5</t>
  </si>
  <si>
    <t>1 / 2-3 / 4-5 / więcej</t>
  </si>
  <si>
    <t>Jaki jest % TUZów z co najmniej 3 gatunkami roślin, w tym trawami, roślinami strączkowymi i roślinami szerokolistnymi?</t>
  </si>
  <si>
    <t>Mniej niż 25%</t>
  </si>
  <si>
    <t>mniej niż 25% / więcej jak 25% / więcej jak 50% / więcej jak 75%</t>
  </si>
  <si>
    <t>Jak często oddajesz próbki gleby do analizy laboratoryjnej pod kątem tekstury, pH, materii organicznej, P, K, Mg?</t>
  </si>
  <si>
    <t>co 3 lat</t>
  </si>
  <si>
    <t>nigdy / co roku / co 2-3 lata / co 4-5 lat</t>
  </si>
  <si>
    <t>Czy masz plan żywieniowy dla krów dostosowany do faz laktacji?</t>
  </si>
  <si>
    <t>W jakim systemie trzymasz krowy?</t>
  </si>
  <si>
    <t>1) System wolnostanowiskowy / 2) system uwięziowy</t>
  </si>
  <si>
    <t>Które z poniższych rozwiązań są stosowane w celu poprawy pielęgnacji racic krów?</t>
  </si>
  <si>
    <t xml:space="preserve">1) monitorowanie kulawizn i przycinanie racic; </t>
  </si>
  <si>
    <t>2) działania zapobiegawcze, w tym zbilansowana dieta i czysta podłoga;</t>
  </si>
  <si>
    <t xml:space="preserve">3) regularne szkolenia personelu i porady ekspertów; </t>
  </si>
  <si>
    <t>4) żadne z powyższych</t>
  </si>
  <si>
    <t>Czy oddajesz do analizy kiszonki pod kątem ich wartości pokarmowej?</t>
  </si>
  <si>
    <t>Czy byłbyś zainteresowany bezpłatnym systemem obsługi faktur KSeF firmy Agraves?</t>
  </si>
  <si>
    <t>NIE</t>
  </si>
  <si>
    <t>Ile masz worków (20kg) z Agolinem?</t>
  </si>
  <si>
    <t>szt</t>
  </si>
  <si>
    <t>Dane o Agolinie są aktualne na dzień: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</si>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</sst>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indexed="8"/>
      <name val="Calibri"/>
      <family val="2"/>
    </font>
    <font>
      <b/>
      <sz val="48"/>
      <color indexed="8"/>
      <name val="Calibri"/>
      <family val="2"/>
    </font>
    <font>
      <sz val="36"/>
      <color theme="1"/>
      <name val="Calibri"/>
      <family val="2"/>
      <scheme val="minor"/>
    </font>
    <font>
      <u/>
      <sz val="36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indexed="8"/>
      <name val="Calibri"/>
      <family val="2"/>
    </font>
    <font>
      <i/>
      <sz val="36"/>
      <color theme="1"/>
      <name val="Calibri"/>
      <family val="2"/>
      <scheme val="minor"/>
    </font>
    <font>
      <sz val="36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sz val="36"/>
      <color indexed="8"/>
      <name val="Calibri"/>
      <family val="2"/>
      <charset val="238"/>
    </font>
    <font>
      <i/>
      <sz val="36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36"/>
      <color indexed="8"/>
      <name val="Calibri"/>
      <family val="2"/>
      <charset val="238"/>
    </font>
    <font>
      <sz val="36"/>
      <color rgb="FF00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 wrapText="1"/>
    </xf>
    <xf numFmtId="43" fontId="5" fillId="2" borderId="1" xfId="2" applyNumberFormat="1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43" fontId="5" fillId="2" borderId="4" xfId="2" applyNumberFormat="1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9" fontId="7" fillId="0" borderId="6" xfId="2" applyFont="1" applyBorder="1" applyAlignment="1">
      <alignment vertical="center" wrapText="1"/>
    </xf>
    <xf numFmtId="9" fontId="5" fillId="0" borderId="1" xfId="2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7" fillId="3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10" fontId="5" fillId="0" borderId="0" xfId="2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2" xfId="2" applyNumberFormat="1" applyFont="1" applyFill="1" applyBorder="1" applyAlignment="1">
      <alignment vertical="center" wrapText="1"/>
    </xf>
    <xf numFmtId="0" fontId="5" fillId="2" borderId="1" xfId="2" applyNumberFormat="1" applyFont="1" applyFill="1" applyBorder="1" applyAlignment="1">
      <alignment vertical="center" wrapText="1"/>
    </xf>
    <xf numFmtId="0" fontId="5" fillId="0" borderId="0" xfId="2" applyNumberFormat="1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10" fontId="5" fillId="2" borderId="1" xfId="2" applyNumberFormat="1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1" fontId="5" fillId="2" borderId="1" xfId="2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2" fontId="13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8" fillId="0" borderId="2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5" fillId="4" borderId="8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16" fontId="5" fillId="2" borderId="7" xfId="0" applyNumberFormat="1" applyFont="1" applyFill="1" applyBorder="1" applyAlignment="1">
      <alignment vertical="center" wrapText="1"/>
    </xf>
    <xf numFmtId="14" fontId="5" fillId="2" borderId="7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2" xfId="3" applyFont="1" applyFill="1" applyBorder="1" applyAlignment="1">
      <alignment vertical="center"/>
    </xf>
    <xf numFmtId="0" fontId="6" fillId="2" borderId="3" xfId="3" applyFont="1" applyFill="1" applyBorder="1" applyAlignment="1">
      <alignment vertical="center"/>
    </xf>
    <xf numFmtId="0" fontId="6" fillId="2" borderId="6" xfId="3" applyFont="1" applyFill="1" applyBorder="1" applyAlignment="1">
      <alignment vertical="center"/>
    </xf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0A05-EA04-4196-BA59-31C1B0F8B358}">
  <sheetPr>
    <pageSetUpPr fitToPage="1"/>
  </sheetPr>
  <dimension ref="A1:AA162"/>
  <sheetViews>
    <sheetView tabSelected="1" topLeftCell="A3" zoomScale="40" zoomScaleNormal="40" workbookViewId="0">
      <selection activeCell="C7" sqref="C7:J10"/>
    </sheetView>
  </sheetViews>
  <sheetFormatPr defaultColWidth="9.140625" defaultRowHeight="46.5"/>
  <cols>
    <col min="1" max="1" width="9.140625" style="8" customWidth="1"/>
    <col min="2" max="2" width="60.5703125" style="8" customWidth="1"/>
    <col min="3" max="3" width="74.42578125" style="8" customWidth="1"/>
    <col min="4" max="4" width="47.28515625" style="8" customWidth="1"/>
    <col min="5" max="5" width="35.42578125" style="8" customWidth="1"/>
    <col min="6" max="6" width="41" style="8" customWidth="1"/>
    <col min="7" max="7" width="36.85546875" style="8" customWidth="1"/>
    <col min="8" max="8" width="28" style="8" customWidth="1"/>
    <col min="9" max="9" width="27" style="8" customWidth="1"/>
    <col min="10" max="10" width="30.42578125" style="8" customWidth="1"/>
    <col min="11" max="11" width="16.42578125" style="8" customWidth="1"/>
    <col min="12" max="12" width="26.28515625" style="8" customWidth="1"/>
    <col min="13" max="13" width="16.42578125" style="8" customWidth="1"/>
    <col min="14" max="16384" width="9.140625" style="8"/>
  </cols>
  <sheetData>
    <row r="1" spans="1:27" ht="61.5">
      <c r="B1" s="9" t="s">
        <v>0</v>
      </c>
    </row>
    <row r="3" spans="1:27">
      <c r="B3" s="70" t="s">
        <v>1</v>
      </c>
      <c r="C3" s="70"/>
    </row>
    <row r="4" spans="1:27">
      <c r="B4" s="8" t="s">
        <v>2</v>
      </c>
    </row>
    <row r="6" spans="1:27" s="11" customFormat="1">
      <c r="A6" s="8"/>
      <c r="B6" s="10" t="s">
        <v>3</v>
      </c>
    </row>
    <row r="7" spans="1:27" ht="93" customHeight="1">
      <c r="B7" s="12" t="s">
        <v>4</v>
      </c>
      <c r="C7" s="84" t="s">
        <v>5</v>
      </c>
      <c r="D7" s="85"/>
      <c r="E7" s="85"/>
      <c r="F7" s="85"/>
      <c r="G7" s="85"/>
      <c r="H7" s="85"/>
      <c r="I7" s="85"/>
      <c r="J7" s="86"/>
    </row>
    <row r="8" spans="1:27" ht="81.75" customHeight="1">
      <c r="B8" s="12" t="s">
        <v>6</v>
      </c>
      <c r="C8" s="84" t="s">
        <v>7</v>
      </c>
      <c r="D8" s="85"/>
      <c r="E8" s="85"/>
      <c r="F8" s="85"/>
      <c r="G8" s="85"/>
      <c r="H8" s="85"/>
      <c r="I8" s="85"/>
      <c r="J8" s="86"/>
    </row>
    <row r="9" spans="1:27" ht="90.75" customHeight="1">
      <c r="B9" s="12" t="s">
        <v>8</v>
      </c>
      <c r="C9" s="84" t="s">
        <v>9</v>
      </c>
      <c r="D9" s="85"/>
      <c r="E9" s="85"/>
      <c r="F9" s="85"/>
      <c r="G9" s="85"/>
      <c r="H9" s="85"/>
      <c r="I9" s="85"/>
      <c r="J9" s="86"/>
    </row>
    <row r="10" spans="1:27" ht="100.5" customHeight="1">
      <c r="B10" s="12" t="s">
        <v>10</v>
      </c>
      <c r="C10" s="87">
        <v>693130328</v>
      </c>
      <c r="D10" s="88"/>
      <c r="E10" s="88"/>
      <c r="F10" s="88"/>
      <c r="G10" s="88"/>
      <c r="H10" s="88"/>
      <c r="I10" s="88"/>
      <c r="J10" s="89"/>
    </row>
    <row r="12" spans="1:27" s="11" customFormat="1">
      <c r="A12" s="8"/>
      <c r="B12" s="71" t="s">
        <v>11</v>
      </c>
      <c r="C12" s="72"/>
      <c r="D12" s="7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>
      <c r="B13" s="14"/>
      <c r="C13" s="14"/>
      <c r="D13" s="15" t="s">
        <v>12</v>
      </c>
      <c r="E13" s="16"/>
      <c r="F13" s="16"/>
      <c r="G13" s="16"/>
      <c r="H13" s="16"/>
    </row>
    <row r="14" spans="1:27" ht="93">
      <c r="B14" s="17" t="s">
        <v>13</v>
      </c>
      <c r="C14" s="18" t="s">
        <v>14</v>
      </c>
      <c r="D14" s="19">
        <v>2025</v>
      </c>
      <c r="E14" s="16"/>
      <c r="F14" s="16"/>
      <c r="G14" s="16"/>
      <c r="H14" s="16"/>
    </row>
    <row r="15" spans="1:27" ht="93">
      <c r="B15" s="17" t="s">
        <v>15</v>
      </c>
      <c r="C15" s="18" t="s">
        <v>16</v>
      </c>
      <c r="D15" s="20">
        <v>539600</v>
      </c>
      <c r="E15" s="16"/>
      <c r="F15" s="16"/>
      <c r="G15" s="16"/>
      <c r="H15" s="16"/>
    </row>
    <row r="16" spans="1:27" ht="71.25" customHeight="1">
      <c r="B16" s="17" t="s">
        <v>17</v>
      </c>
      <c r="C16" s="19" t="s">
        <v>18</v>
      </c>
      <c r="D16" s="21">
        <v>4.01</v>
      </c>
      <c r="E16" s="16"/>
      <c r="F16" s="16"/>
      <c r="G16" s="16"/>
      <c r="H16" s="16"/>
    </row>
    <row r="17" spans="1:10" ht="76.5" customHeight="1">
      <c r="B17" s="22" t="s">
        <v>19</v>
      </c>
      <c r="C17" s="23" t="s">
        <v>18</v>
      </c>
      <c r="D17" s="24">
        <v>3.36</v>
      </c>
      <c r="E17" s="16"/>
      <c r="F17" s="16"/>
      <c r="G17" s="16"/>
      <c r="H17" s="16"/>
    </row>
    <row r="18" spans="1:10" ht="93">
      <c r="A18" s="25"/>
      <c r="B18" s="26" t="s">
        <v>20</v>
      </c>
      <c r="C18" s="27" t="s">
        <v>21</v>
      </c>
      <c r="D18" s="43">
        <v>363.7</v>
      </c>
      <c r="E18" s="16"/>
      <c r="F18" s="16"/>
      <c r="G18" s="16"/>
      <c r="H18" s="16"/>
    </row>
    <row r="19" spans="1:10" ht="35.25" customHeight="1"/>
    <row r="20" spans="1:10" s="11" customFormat="1">
      <c r="A20" s="8"/>
      <c r="B20" s="28" t="s">
        <v>22</v>
      </c>
    </row>
    <row r="21" spans="1:10" ht="44.25" customHeight="1">
      <c r="B21" s="7" t="s">
        <v>23</v>
      </c>
    </row>
    <row r="22" spans="1:10">
      <c r="B22" s="15"/>
      <c r="C22" s="15" t="s">
        <v>24</v>
      </c>
      <c r="D22" s="16"/>
      <c r="E22" s="16"/>
    </row>
    <row r="23" spans="1:10" ht="69.75" customHeight="1">
      <c r="B23" s="17" t="s">
        <v>25</v>
      </c>
      <c r="C23" s="29" t="s">
        <v>26</v>
      </c>
      <c r="D23" s="30" t="s">
        <v>27</v>
      </c>
      <c r="E23" s="30"/>
    </row>
    <row r="25" spans="1:10">
      <c r="B25" s="15"/>
      <c r="C25" s="15"/>
      <c r="D25" s="73" t="s">
        <v>28</v>
      </c>
      <c r="E25" s="74"/>
      <c r="F25" s="75" t="s">
        <v>29</v>
      </c>
      <c r="G25" s="75"/>
      <c r="H25" s="69" t="s">
        <v>30</v>
      </c>
      <c r="I25" s="69"/>
    </row>
    <row r="26" spans="1:10" ht="96" customHeight="1">
      <c r="B26" s="15"/>
      <c r="C26" s="15"/>
      <c r="D26" s="15" t="s">
        <v>31</v>
      </c>
      <c r="E26" s="15" t="s">
        <v>32</v>
      </c>
      <c r="F26" s="15" t="s">
        <v>31</v>
      </c>
      <c r="G26" s="15" t="s">
        <v>32</v>
      </c>
      <c r="H26" s="15" t="s">
        <v>31</v>
      </c>
      <c r="I26" s="15" t="s">
        <v>32</v>
      </c>
    </row>
    <row r="27" spans="1:10" ht="107.25" customHeight="1">
      <c r="B27" s="17" t="s">
        <v>33</v>
      </c>
      <c r="C27" s="18" t="s">
        <v>34</v>
      </c>
      <c r="D27" s="29">
        <v>30</v>
      </c>
      <c r="E27" s="19">
        <v>180</v>
      </c>
      <c r="F27" s="29"/>
      <c r="G27" s="19">
        <v>60</v>
      </c>
      <c r="H27" s="29"/>
      <c r="I27" s="19">
        <v>180</v>
      </c>
    </row>
    <row r="28" spans="1:10" ht="93">
      <c r="B28" s="31" t="s">
        <v>35</v>
      </c>
      <c r="C28" s="18" t="s">
        <v>36</v>
      </c>
      <c r="D28" s="29">
        <v>25</v>
      </c>
      <c r="E28" s="19">
        <v>435</v>
      </c>
      <c r="F28" s="29"/>
      <c r="G28" s="19">
        <v>435</v>
      </c>
      <c r="H28" s="29">
        <v>1</v>
      </c>
      <c r="I28" s="19">
        <v>435</v>
      </c>
    </row>
    <row r="29" spans="1:10" ht="104.25" customHeight="1">
      <c r="B29" s="17" t="s">
        <v>37</v>
      </c>
      <c r="C29" s="18" t="s">
        <v>38</v>
      </c>
      <c r="D29" s="29">
        <v>52</v>
      </c>
      <c r="E29" s="19">
        <v>630</v>
      </c>
      <c r="F29" s="29">
        <v>10</v>
      </c>
      <c r="G29" s="19">
        <v>630</v>
      </c>
      <c r="H29" s="29"/>
      <c r="I29" s="19">
        <v>630</v>
      </c>
    </row>
    <row r="30" spans="1:10" ht="123" customHeight="1">
      <c r="B30" s="17" t="s">
        <v>39</v>
      </c>
      <c r="C30" s="18" t="s">
        <v>40</v>
      </c>
      <c r="D30" s="29">
        <v>4</v>
      </c>
      <c r="E30" s="19">
        <v>680</v>
      </c>
      <c r="F30" s="29"/>
      <c r="G30" s="19">
        <v>680</v>
      </c>
      <c r="H30" s="29"/>
      <c r="I30" s="19">
        <v>680</v>
      </c>
      <c r="J30" s="32"/>
    </row>
    <row r="31" spans="1:10">
      <c r="B31" s="8" t="s">
        <v>41</v>
      </c>
    </row>
    <row r="32" spans="1:10" s="11" customFormat="1">
      <c r="A32" s="8"/>
      <c r="B32" s="28" t="s">
        <v>42</v>
      </c>
      <c r="J32" s="33"/>
    </row>
    <row r="33" spans="1:11">
      <c r="B33" s="7" t="s">
        <v>43</v>
      </c>
    </row>
    <row r="35" spans="1:11" ht="93">
      <c r="B35" s="31"/>
      <c r="C35" s="15" t="s">
        <v>44</v>
      </c>
      <c r="D35" s="15" t="s">
        <v>45</v>
      </c>
      <c r="E35" s="15" t="s">
        <v>46</v>
      </c>
    </row>
    <row r="36" spans="1:11" ht="39" customHeight="1">
      <c r="B36" s="31" t="s">
        <v>33</v>
      </c>
      <c r="C36" s="29"/>
      <c r="D36" s="29"/>
      <c r="E36" s="29"/>
      <c r="F36" s="30" t="s">
        <v>47</v>
      </c>
      <c r="G36" s="30"/>
      <c r="H36" s="30"/>
      <c r="I36" s="30"/>
      <c r="J36" s="34"/>
      <c r="K36" s="34"/>
    </row>
    <row r="37" spans="1:11">
      <c r="B37" s="31" t="s">
        <v>35</v>
      </c>
      <c r="C37" s="29"/>
      <c r="D37" s="29"/>
      <c r="E37" s="29"/>
      <c r="F37" s="30" t="s">
        <v>48</v>
      </c>
    </row>
    <row r="38" spans="1:11">
      <c r="B38" s="17" t="s">
        <v>37</v>
      </c>
      <c r="C38" s="29"/>
      <c r="D38" s="29"/>
      <c r="E38" s="29"/>
      <c r="F38" s="30" t="s">
        <v>48</v>
      </c>
    </row>
    <row r="39" spans="1:11">
      <c r="B39" s="31" t="s">
        <v>39</v>
      </c>
      <c r="C39" s="29"/>
      <c r="D39" s="29"/>
      <c r="E39" s="29"/>
      <c r="F39" s="30" t="s">
        <v>48</v>
      </c>
    </row>
    <row r="40" spans="1:11">
      <c r="B40" s="16"/>
      <c r="C40" s="35"/>
    </row>
    <row r="41" spans="1:11" s="33" customFormat="1">
      <c r="A41" s="8"/>
      <c r="B41" s="10" t="s">
        <v>49</v>
      </c>
    </row>
    <row r="42" spans="1:11" ht="232.5">
      <c r="B42" s="36"/>
      <c r="C42" s="15" t="s">
        <v>50</v>
      </c>
      <c r="D42" s="15" t="s">
        <v>51</v>
      </c>
      <c r="E42" s="15" t="s">
        <v>52</v>
      </c>
    </row>
    <row r="43" spans="1:11" ht="139.5">
      <c r="B43" s="37" t="s">
        <v>53</v>
      </c>
      <c r="C43" s="38">
        <v>6.6</v>
      </c>
      <c r="D43" s="38">
        <v>37</v>
      </c>
      <c r="E43" s="29">
        <v>23</v>
      </c>
    </row>
    <row r="45" spans="1:11">
      <c r="B45" s="8" t="s">
        <v>54</v>
      </c>
    </row>
    <row r="46" spans="1:11" ht="93">
      <c r="B46" s="39" t="s">
        <v>55</v>
      </c>
      <c r="C46" s="40" t="s">
        <v>56</v>
      </c>
      <c r="D46" s="14" t="s">
        <v>57</v>
      </c>
      <c r="E46" s="41"/>
      <c r="F46" s="41"/>
    </row>
    <row r="47" spans="1:11" ht="60" customHeight="1">
      <c r="B47" s="19" t="s">
        <v>58</v>
      </c>
      <c r="C47" s="42">
        <v>30</v>
      </c>
      <c r="D47" s="43">
        <v>30</v>
      </c>
      <c r="E47" s="44"/>
      <c r="F47" s="44"/>
    </row>
    <row r="48" spans="1:11" ht="60" customHeight="1">
      <c r="B48" s="19" t="s">
        <v>59</v>
      </c>
      <c r="C48" s="42"/>
      <c r="D48" s="43">
        <v>40</v>
      </c>
      <c r="E48" s="44"/>
      <c r="F48" s="44"/>
    </row>
    <row r="49" spans="1:13" ht="60" customHeight="1">
      <c r="B49" s="36" t="s">
        <v>60</v>
      </c>
      <c r="C49" s="42">
        <v>0.2</v>
      </c>
      <c r="D49" s="43">
        <v>0.2</v>
      </c>
      <c r="E49" s="44"/>
      <c r="F49" s="44"/>
    </row>
    <row r="50" spans="1:13" ht="93">
      <c r="B50" s="19" t="s">
        <v>61</v>
      </c>
      <c r="C50" s="42">
        <v>0.15</v>
      </c>
      <c r="D50" s="43"/>
      <c r="E50" s="44"/>
      <c r="F50" s="44"/>
    </row>
    <row r="51" spans="1:13" ht="60" customHeight="1">
      <c r="B51" s="19" t="s">
        <v>62</v>
      </c>
      <c r="C51" s="42"/>
      <c r="D51" s="43"/>
      <c r="E51" s="44"/>
      <c r="F51" s="44"/>
    </row>
    <row r="52" spans="1:13" ht="60" customHeight="1">
      <c r="B52" s="19" t="s">
        <v>63</v>
      </c>
      <c r="C52" s="42"/>
      <c r="D52" s="43">
        <v>0.2</v>
      </c>
      <c r="E52" s="44"/>
      <c r="F52" s="44"/>
    </row>
    <row r="53" spans="1:13" ht="60" customHeight="1">
      <c r="B53" s="19" t="s">
        <v>64</v>
      </c>
      <c r="C53" s="42"/>
      <c r="D53" s="43"/>
      <c r="E53" s="44"/>
      <c r="F53" s="44"/>
    </row>
    <row r="54" spans="1:13" ht="93">
      <c r="B54" s="19" t="s">
        <v>65</v>
      </c>
      <c r="C54" s="42"/>
      <c r="D54" s="43"/>
      <c r="E54" s="44"/>
      <c r="F54" s="44"/>
    </row>
    <row r="55" spans="1:13" ht="60" customHeight="1">
      <c r="B55" s="19" t="s">
        <v>66</v>
      </c>
      <c r="C55" s="42"/>
      <c r="D55" s="43"/>
      <c r="E55" s="44"/>
      <c r="F55" s="44"/>
    </row>
    <row r="56" spans="1:13" ht="60" customHeight="1">
      <c r="B56" s="19" t="s">
        <v>67</v>
      </c>
      <c r="C56" s="42"/>
      <c r="D56" s="43">
        <v>0.15</v>
      </c>
      <c r="E56" s="44"/>
      <c r="F56" s="44"/>
    </row>
    <row r="57" spans="1:13" ht="88.5" customHeight="1">
      <c r="B57" s="1"/>
      <c r="D57" s="35"/>
      <c r="E57" s="35"/>
      <c r="F57" s="35"/>
      <c r="J57" s="2"/>
    </row>
    <row r="58" spans="1:13" s="33" customFormat="1">
      <c r="A58" s="8"/>
      <c r="B58" s="10" t="s">
        <v>68</v>
      </c>
    </row>
    <row r="59" spans="1:13" ht="103.5" customHeight="1">
      <c r="B59" s="77" t="s">
        <v>69</v>
      </c>
      <c r="C59" s="77"/>
      <c r="D59" s="77"/>
      <c r="E59" s="77"/>
      <c r="F59" s="77"/>
      <c r="G59" s="77"/>
      <c r="H59" s="77"/>
      <c r="I59" s="4"/>
      <c r="J59" s="4"/>
      <c r="K59" s="4"/>
      <c r="L59" s="4"/>
      <c r="M59" s="4"/>
    </row>
    <row r="60" spans="1:13">
      <c r="B60" s="45"/>
      <c r="C60" s="46" t="s">
        <v>70</v>
      </c>
      <c r="D60" s="46" t="s">
        <v>71</v>
      </c>
      <c r="E60" s="2"/>
      <c r="F60" s="3"/>
      <c r="G60" s="4"/>
      <c r="H60" s="4"/>
      <c r="I60" s="4"/>
      <c r="J60" s="4"/>
      <c r="K60" s="4"/>
      <c r="L60" s="4"/>
      <c r="M60" s="4"/>
    </row>
    <row r="61" spans="1:13" ht="186">
      <c r="B61" s="5" t="s">
        <v>72</v>
      </c>
      <c r="C61" s="47" t="s">
        <v>73</v>
      </c>
      <c r="D61" s="47"/>
      <c r="E61" s="6" t="s">
        <v>74</v>
      </c>
      <c r="F61" s="3"/>
      <c r="G61" s="7"/>
      <c r="H61" s="4"/>
      <c r="I61" s="4"/>
      <c r="J61" s="4"/>
      <c r="K61" s="4"/>
      <c r="L61" s="4"/>
      <c r="M61" s="4"/>
    </row>
    <row r="62" spans="1:13">
      <c r="B62" s="3"/>
      <c r="C62" s="2"/>
      <c r="D62" s="2"/>
      <c r="E62" s="2"/>
      <c r="F62" s="3"/>
      <c r="G62" s="4"/>
      <c r="H62" s="4"/>
      <c r="I62" s="4"/>
      <c r="J62" s="4"/>
      <c r="K62" s="4"/>
      <c r="L62" s="4"/>
      <c r="M62" s="4"/>
    </row>
    <row r="63" spans="1:13" ht="93">
      <c r="B63" s="46"/>
      <c r="C63" s="46" t="s">
        <v>75</v>
      </c>
      <c r="D63" s="48" t="s">
        <v>76</v>
      </c>
      <c r="F63" s="3"/>
      <c r="G63" s="4"/>
      <c r="H63" s="4"/>
      <c r="I63" s="4"/>
      <c r="J63" s="4"/>
      <c r="K63" s="4"/>
      <c r="L63" s="4"/>
      <c r="M63" s="4"/>
    </row>
    <row r="64" spans="1:13" ht="186">
      <c r="B64" s="5" t="s">
        <v>77</v>
      </c>
      <c r="C64" s="47" t="s">
        <v>73</v>
      </c>
      <c r="D64" s="47"/>
      <c r="E64" s="6" t="s">
        <v>74</v>
      </c>
      <c r="F64" s="3"/>
      <c r="G64" s="7"/>
      <c r="H64" s="4"/>
      <c r="I64" s="4"/>
      <c r="J64" s="4"/>
      <c r="K64" s="4"/>
      <c r="L64" s="4"/>
      <c r="M64" s="4"/>
    </row>
    <row r="65" spans="2:13">
      <c r="F65" s="3"/>
      <c r="G65" s="4"/>
      <c r="H65" s="4"/>
      <c r="I65" s="4"/>
      <c r="J65" s="4"/>
      <c r="K65" s="4"/>
      <c r="L65" s="4"/>
      <c r="M65" s="4"/>
    </row>
    <row r="66" spans="2:13" ht="93">
      <c r="B66" s="46"/>
      <c r="C66" s="46" t="s">
        <v>78</v>
      </c>
      <c r="D66" s="48" t="s">
        <v>79</v>
      </c>
      <c r="E66" s="2"/>
      <c r="F66" s="3"/>
      <c r="G66" s="4"/>
      <c r="H66" s="4"/>
      <c r="I66" s="4"/>
      <c r="J66" s="4"/>
      <c r="K66" s="4"/>
      <c r="L66" s="4"/>
      <c r="M66" s="4"/>
    </row>
    <row r="67" spans="2:13" ht="186">
      <c r="B67" s="5" t="s">
        <v>80</v>
      </c>
      <c r="C67" s="47" t="s">
        <v>73</v>
      </c>
      <c r="D67" s="49"/>
      <c r="E67" s="6" t="s">
        <v>74</v>
      </c>
      <c r="F67" s="3"/>
      <c r="G67" s="4"/>
      <c r="H67" s="4"/>
      <c r="I67" s="4"/>
      <c r="J67" s="4"/>
      <c r="K67" s="4"/>
      <c r="L67" s="4"/>
      <c r="M67" s="4"/>
    </row>
    <row r="68" spans="2:13">
      <c r="B68" s="3"/>
      <c r="C68" s="3"/>
      <c r="D68" s="3"/>
      <c r="E68" s="3"/>
      <c r="F68" s="3"/>
      <c r="G68" s="4"/>
      <c r="H68" s="4"/>
      <c r="I68" s="4"/>
      <c r="J68" s="4"/>
      <c r="K68" s="4"/>
      <c r="L68" s="4"/>
      <c r="M68" s="4"/>
    </row>
    <row r="69" spans="2:13" ht="232.5">
      <c r="B69" s="15" t="s">
        <v>81</v>
      </c>
      <c r="C69" s="15" t="s">
        <v>82</v>
      </c>
      <c r="D69" s="15" t="s">
        <v>83</v>
      </c>
      <c r="E69" s="15" t="s">
        <v>37</v>
      </c>
      <c r="F69" s="15" t="s">
        <v>39</v>
      </c>
    </row>
    <row r="70" spans="2:13" ht="93" hidden="1">
      <c r="B70" s="50" t="s">
        <v>84</v>
      </c>
      <c r="C70" s="43"/>
      <c r="D70" s="43"/>
      <c r="E70" s="43"/>
      <c r="F70" s="43"/>
    </row>
    <row r="71" spans="2:13" ht="93">
      <c r="B71" s="50" t="s">
        <v>85</v>
      </c>
      <c r="C71" s="43">
        <v>3</v>
      </c>
      <c r="D71" s="43">
        <v>5</v>
      </c>
      <c r="E71" s="43">
        <v>27</v>
      </c>
      <c r="F71" s="43"/>
    </row>
    <row r="72" spans="2:13" ht="80.099999999999994" customHeight="1">
      <c r="B72" s="50" t="s">
        <v>86</v>
      </c>
      <c r="C72" s="43">
        <v>4</v>
      </c>
      <c r="D72" s="43">
        <v>8</v>
      </c>
      <c r="E72" s="43"/>
      <c r="F72" s="43">
        <v>12</v>
      </c>
    </row>
    <row r="73" spans="2:13" ht="80.099999999999994" customHeight="1">
      <c r="B73" s="50" t="s">
        <v>87</v>
      </c>
      <c r="C73" s="43"/>
      <c r="D73" s="43"/>
      <c r="E73" s="43">
        <v>12</v>
      </c>
      <c r="F73" s="43"/>
    </row>
    <row r="74" spans="2:13" ht="80.099999999999994" customHeight="1">
      <c r="B74" s="50" t="s">
        <v>88</v>
      </c>
      <c r="C74" s="43"/>
      <c r="D74" s="43"/>
      <c r="E74" s="43"/>
      <c r="F74" s="43">
        <v>2</v>
      </c>
    </row>
    <row r="75" spans="2:13" ht="80.099999999999994" customHeight="1">
      <c r="B75" s="51" t="s">
        <v>89</v>
      </c>
      <c r="C75" s="43"/>
      <c r="D75" s="43"/>
      <c r="E75" s="43">
        <v>0.5</v>
      </c>
      <c r="F75" s="43">
        <v>1</v>
      </c>
    </row>
    <row r="76" spans="2:13" ht="80.099999999999994" customHeight="1">
      <c r="B76" s="50" t="s">
        <v>90</v>
      </c>
      <c r="C76" s="43"/>
      <c r="D76" s="43"/>
      <c r="E76" s="43"/>
      <c r="F76" s="43"/>
    </row>
    <row r="77" spans="2:13" ht="80.099999999999994" customHeight="1">
      <c r="B77" s="50" t="s">
        <v>91</v>
      </c>
      <c r="C77" s="43"/>
      <c r="D77" s="43"/>
      <c r="E77" s="43">
        <v>1.6</v>
      </c>
      <c r="F77" s="43"/>
    </row>
    <row r="78" spans="2:13" ht="80.099999999999994" customHeight="1">
      <c r="B78" s="51" t="s">
        <v>92</v>
      </c>
      <c r="C78" s="43"/>
      <c r="D78" s="43"/>
      <c r="E78" s="43"/>
      <c r="F78" s="43"/>
    </row>
    <row r="79" spans="2:13" ht="80.099999999999994" customHeight="1">
      <c r="B79" s="50" t="s">
        <v>93</v>
      </c>
      <c r="C79" s="43"/>
      <c r="D79" s="43"/>
      <c r="E79" s="43"/>
      <c r="F79" s="43"/>
    </row>
    <row r="80" spans="2:13" ht="80.099999999999994" customHeight="1">
      <c r="B80" s="51" t="s">
        <v>94</v>
      </c>
      <c r="C80" s="43"/>
      <c r="D80" s="43"/>
      <c r="E80" s="43">
        <v>1.6</v>
      </c>
      <c r="F80" s="43"/>
    </row>
    <row r="81" spans="2:8" ht="80.099999999999994" customHeight="1">
      <c r="B81" s="50" t="s">
        <v>95</v>
      </c>
      <c r="C81" s="43"/>
      <c r="D81" s="43"/>
      <c r="E81" s="43">
        <v>4</v>
      </c>
      <c r="F81" s="43"/>
    </row>
    <row r="82" spans="2:8" ht="80.099999999999994" customHeight="1">
      <c r="B82" s="50" t="s">
        <v>96</v>
      </c>
      <c r="C82" s="43">
        <v>0.1</v>
      </c>
      <c r="D82" s="43"/>
      <c r="E82" s="43">
        <v>2</v>
      </c>
      <c r="F82" s="43"/>
    </row>
    <row r="83" spans="2:8" ht="93">
      <c r="B83" s="50" t="s">
        <v>97</v>
      </c>
      <c r="C83" s="43"/>
      <c r="D83" s="43"/>
      <c r="E83" s="43"/>
      <c r="F83" s="43"/>
    </row>
    <row r="84" spans="2:8" ht="150.75" customHeight="1">
      <c r="B84" s="50" t="s">
        <v>98</v>
      </c>
      <c r="C84" s="43"/>
      <c r="D84" s="43"/>
      <c r="E84" s="43"/>
      <c r="F84" s="43"/>
    </row>
    <row r="85" spans="2:8" ht="141" customHeight="1">
      <c r="B85" s="50" t="s">
        <v>99</v>
      </c>
      <c r="C85" s="43"/>
      <c r="D85" s="43"/>
      <c r="E85" s="43"/>
      <c r="F85" s="43"/>
    </row>
    <row r="86" spans="2:8" ht="80.099999999999994" customHeight="1">
      <c r="B86" s="50" t="s">
        <v>100</v>
      </c>
      <c r="C86" s="43"/>
      <c r="D86" s="43"/>
      <c r="E86" s="43"/>
      <c r="F86" s="43"/>
    </row>
    <row r="87" spans="2:8" ht="80.099999999999994" customHeight="1">
      <c r="B87" s="50" t="s">
        <v>101</v>
      </c>
      <c r="C87" s="43"/>
      <c r="D87" s="43"/>
      <c r="E87" s="43"/>
      <c r="F87" s="43"/>
    </row>
    <row r="88" spans="2:8" ht="93">
      <c r="B88" s="50" t="s">
        <v>102</v>
      </c>
      <c r="C88" s="43"/>
      <c r="D88" s="43"/>
      <c r="E88" s="43">
        <v>8</v>
      </c>
      <c r="F88" s="43"/>
    </row>
    <row r="89" spans="2:8" ht="93">
      <c r="B89" s="50" t="s">
        <v>103</v>
      </c>
      <c r="C89" s="43"/>
      <c r="D89" s="43"/>
      <c r="E89" s="43"/>
      <c r="F89" s="43"/>
    </row>
    <row r="90" spans="2:8" ht="80.099999999999994" customHeight="1">
      <c r="B90" s="50" t="s">
        <v>104</v>
      </c>
      <c r="C90" s="43"/>
      <c r="D90" s="43"/>
      <c r="E90" s="43"/>
      <c r="F90" s="43"/>
    </row>
    <row r="91" spans="2:8" ht="80.099999999999994" customHeight="1">
      <c r="B91" s="50" t="s">
        <v>105</v>
      </c>
      <c r="C91" s="43"/>
      <c r="D91" s="43"/>
      <c r="E91" s="43"/>
      <c r="F91" s="43"/>
    </row>
    <row r="92" spans="2:8" ht="80.099999999999994" customHeight="1">
      <c r="B92" s="50" t="s">
        <v>106</v>
      </c>
      <c r="C92" s="43"/>
      <c r="D92" s="43"/>
      <c r="E92" s="43"/>
      <c r="F92" s="43"/>
    </row>
    <row r="93" spans="2:8" ht="80.099999999999994" customHeight="1">
      <c r="B93" s="50" t="s">
        <v>107</v>
      </c>
      <c r="C93" s="43"/>
      <c r="D93" s="43"/>
      <c r="E93" s="43"/>
      <c r="F93" s="43"/>
      <c r="G93" s="52"/>
      <c r="H93" s="16"/>
    </row>
    <row r="94" spans="2:8" ht="80.099999999999994" customHeight="1">
      <c r="B94" s="53" t="s">
        <v>108</v>
      </c>
      <c r="C94" s="43">
        <v>0.02</v>
      </c>
      <c r="D94" s="43"/>
      <c r="E94" s="43">
        <v>0.25</v>
      </c>
      <c r="F94" s="43"/>
      <c r="G94" s="52"/>
      <c r="H94" s="16"/>
    </row>
    <row r="95" spans="2:8" ht="80.099999999999994" customHeight="1">
      <c r="B95" s="50" t="s">
        <v>109</v>
      </c>
      <c r="C95" s="43"/>
      <c r="D95" s="43"/>
      <c r="E95" s="43"/>
      <c r="F95" s="43"/>
      <c r="G95" s="52"/>
    </row>
    <row r="96" spans="2:8">
      <c r="B96" s="54" t="s">
        <v>110</v>
      </c>
      <c r="C96" s="54">
        <f>SUM(C71:C95)</f>
        <v>7.1199999999999992</v>
      </c>
      <c r="D96" s="54">
        <f t="shared" ref="D96:F96" si="0">SUM(D71:D95)</f>
        <v>13</v>
      </c>
      <c r="E96" s="54">
        <f t="shared" si="0"/>
        <v>56.95</v>
      </c>
      <c r="F96" s="54">
        <f t="shared" si="0"/>
        <v>15</v>
      </c>
    </row>
    <row r="97" spans="1:10" s="33" customFormat="1">
      <c r="A97" s="8"/>
      <c r="B97" s="10" t="s">
        <v>59</v>
      </c>
    </row>
    <row r="98" spans="1:10">
      <c r="B98" s="7" t="s">
        <v>111</v>
      </c>
    </row>
    <row r="100" spans="1:10">
      <c r="B100" s="15" t="s">
        <v>112</v>
      </c>
      <c r="C100" s="15" t="s">
        <v>113</v>
      </c>
    </row>
    <row r="101" spans="1:10" ht="58.5" customHeight="1">
      <c r="B101" s="31" t="s">
        <v>33</v>
      </c>
      <c r="C101" s="29">
        <v>2</v>
      </c>
      <c r="D101" s="55" t="s">
        <v>114</v>
      </c>
      <c r="E101" s="56"/>
      <c r="F101" s="56"/>
    </row>
    <row r="102" spans="1:10" ht="62.25" customHeight="1">
      <c r="B102" s="31" t="s">
        <v>35</v>
      </c>
      <c r="C102" s="29">
        <v>2</v>
      </c>
      <c r="D102" s="55" t="s">
        <v>115</v>
      </c>
      <c r="E102" s="55"/>
      <c r="F102" s="55"/>
    </row>
    <row r="103" spans="1:10" ht="63.75" customHeight="1">
      <c r="B103" s="17" t="s">
        <v>37</v>
      </c>
      <c r="C103" s="29">
        <v>1</v>
      </c>
      <c r="D103" s="55" t="s">
        <v>116</v>
      </c>
      <c r="E103" s="55"/>
      <c r="F103" s="55"/>
      <c r="J103" s="54"/>
    </row>
    <row r="104" spans="1:10" ht="72" customHeight="1">
      <c r="B104" s="31" t="s">
        <v>39</v>
      </c>
      <c r="C104" s="29">
        <v>2</v>
      </c>
      <c r="D104" s="55" t="s">
        <v>117</v>
      </c>
      <c r="E104" s="55"/>
      <c r="F104" s="55"/>
    </row>
    <row r="105" spans="1:10">
      <c r="B105" s="57"/>
      <c r="C105" s="16"/>
      <c r="D105" s="55" t="s">
        <v>118</v>
      </c>
      <c r="E105" s="58"/>
      <c r="F105" s="58"/>
    </row>
    <row r="106" spans="1:10">
      <c r="D106" s="55" t="s">
        <v>119</v>
      </c>
      <c r="E106" s="52"/>
      <c r="F106" s="52"/>
    </row>
    <row r="107" spans="1:10" ht="43.5" customHeight="1">
      <c r="D107" s="55" t="s">
        <v>120</v>
      </c>
      <c r="E107" s="55"/>
      <c r="F107" s="55"/>
    </row>
    <row r="108" spans="1:10" ht="30" customHeight="1">
      <c r="D108" s="55"/>
      <c r="E108" s="55"/>
      <c r="F108" s="55"/>
    </row>
    <row r="109" spans="1:10" s="33" customFormat="1">
      <c r="A109" s="8"/>
      <c r="B109" s="10" t="s">
        <v>121</v>
      </c>
    </row>
    <row r="110" spans="1:10" s="54" customFormat="1">
      <c r="A110" s="8"/>
    </row>
    <row r="111" spans="1:10">
      <c r="B111" s="14"/>
      <c r="C111" s="14"/>
      <c r="D111" s="59" t="s">
        <v>24</v>
      </c>
      <c r="E111" s="57"/>
      <c r="F111" s="57"/>
      <c r="J111" s="54"/>
    </row>
    <row r="112" spans="1:10" ht="93">
      <c r="B112" s="17" t="s">
        <v>122</v>
      </c>
      <c r="C112" s="18" t="s">
        <v>123</v>
      </c>
      <c r="D112" s="29" t="s">
        <v>89</v>
      </c>
      <c r="E112" s="16"/>
      <c r="F112" s="16"/>
    </row>
    <row r="113" spans="1:10" ht="93">
      <c r="B113" s="17" t="s">
        <v>124</v>
      </c>
      <c r="C113" s="18" t="s">
        <v>125</v>
      </c>
      <c r="D113" s="29">
        <v>200</v>
      </c>
      <c r="E113" s="16"/>
      <c r="F113" s="16"/>
    </row>
    <row r="114" spans="1:10">
      <c r="B114" s="41"/>
      <c r="C114" s="16"/>
      <c r="D114" s="16"/>
      <c r="E114" s="16"/>
      <c r="F114" s="16"/>
      <c r="G114" s="16"/>
      <c r="H114" s="16"/>
    </row>
    <row r="115" spans="1:10" s="33" customFormat="1">
      <c r="A115" s="8"/>
      <c r="B115" s="10" t="s">
        <v>126</v>
      </c>
    </row>
    <row r="116" spans="1:10" s="54" customFormat="1">
      <c r="A116" s="8"/>
      <c r="B116" s="60" t="s">
        <v>127</v>
      </c>
      <c r="J116" s="8"/>
    </row>
    <row r="117" spans="1:10">
      <c r="B117" s="14"/>
      <c r="C117" s="40"/>
      <c r="D117" s="59" t="s">
        <v>24</v>
      </c>
      <c r="F117" s="41"/>
    </row>
    <row r="118" spans="1:10" ht="86.25" customHeight="1">
      <c r="B118" s="31" t="s">
        <v>128</v>
      </c>
      <c r="C118" s="61" t="s">
        <v>16</v>
      </c>
      <c r="D118" s="62">
        <v>5000</v>
      </c>
      <c r="F118" s="16"/>
    </row>
    <row r="119" spans="1:10" ht="93">
      <c r="B119" s="31" t="s">
        <v>129</v>
      </c>
      <c r="C119" s="61" t="s">
        <v>130</v>
      </c>
      <c r="D119" s="62">
        <v>15000</v>
      </c>
      <c r="F119" s="16"/>
    </row>
    <row r="120" spans="1:10" ht="93">
      <c r="B120" s="17" t="s">
        <v>131</v>
      </c>
      <c r="C120" s="61" t="s">
        <v>130</v>
      </c>
      <c r="D120" s="62">
        <v>7000</v>
      </c>
      <c r="F120" s="16"/>
    </row>
    <row r="121" spans="1:10" ht="73.5" customHeight="1">
      <c r="B121" s="31" t="s">
        <v>132</v>
      </c>
      <c r="C121" s="61" t="s">
        <v>16</v>
      </c>
      <c r="D121" s="62"/>
      <c r="F121" s="16"/>
    </row>
    <row r="122" spans="1:10" ht="75" customHeight="1">
      <c r="B122" s="31" t="s">
        <v>133</v>
      </c>
      <c r="C122" s="61" t="s">
        <v>134</v>
      </c>
      <c r="D122" s="62"/>
      <c r="F122" s="16"/>
    </row>
    <row r="123" spans="1:10" hidden="1"/>
    <row r="124" spans="1:10" s="11" customFormat="1" hidden="1">
      <c r="B124" s="63" t="s">
        <v>135</v>
      </c>
    </row>
    <row r="125" spans="1:10" hidden="1">
      <c r="B125" s="41" t="s">
        <v>136</v>
      </c>
      <c r="C125" s="8">
        <f>SUM(C49:C56)*C43</f>
        <v>2.3099999999999996</v>
      </c>
      <c r="D125" s="8" t="s">
        <v>137</v>
      </c>
    </row>
    <row r="126" spans="1:10" hidden="1">
      <c r="B126" s="41" t="s">
        <v>138</v>
      </c>
      <c r="C126" s="64">
        <f>SUM(C127:C130)</f>
        <v>195859</v>
      </c>
    </row>
    <row r="127" spans="1:10" hidden="1">
      <c r="B127" s="8" t="s">
        <v>33</v>
      </c>
      <c r="C127" s="8">
        <f>SUM(C82:C95)*D27*365</f>
        <v>1314</v>
      </c>
    </row>
    <row r="128" spans="1:10" hidden="1">
      <c r="B128" s="8" t="s">
        <v>35</v>
      </c>
      <c r="C128" s="8">
        <f>SUM(D82:D95)*D28*365</f>
        <v>0</v>
      </c>
    </row>
    <row r="129" spans="1:8" hidden="1">
      <c r="B129" s="8" t="s">
        <v>139</v>
      </c>
      <c r="C129" s="8">
        <f>SUM(E82:E95)*D29*365</f>
        <v>194545</v>
      </c>
    </row>
    <row r="130" spans="1:8" hidden="1">
      <c r="B130" s="8" t="s">
        <v>39</v>
      </c>
      <c r="C130" s="8">
        <f>SUM(F82:F95)*D30*365</f>
        <v>0</v>
      </c>
    </row>
    <row r="132" spans="1:8" s="11" customFormat="1">
      <c r="B132" s="10" t="s">
        <v>140</v>
      </c>
    </row>
    <row r="133" spans="1:8" ht="93">
      <c r="B133" s="79" t="s">
        <v>141</v>
      </c>
      <c r="C133" s="80"/>
      <c r="D133" s="80"/>
      <c r="E133" s="80"/>
      <c r="F133" s="81"/>
      <c r="G133" s="65" t="s">
        <v>24</v>
      </c>
    </row>
    <row r="134" spans="1:8" ht="80.099999999999994" customHeight="1">
      <c r="A134" s="66">
        <v>1</v>
      </c>
      <c r="B134" s="78" t="s">
        <v>142</v>
      </c>
      <c r="C134" s="78"/>
      <c r="D134" s="78"/>
      <c r="E134" s="78"/>
      <c r="F134" s="78"/>
      <c r="G134" s="62">
        <v>56</v>
      </c>
      <c r="H134" s="52" t="s">
        <v>143</v>
      </c>
    </row>
    <row r="135" spans="1:8" ht="80.099999999999994" customHeight="1">
      <c r="A135" s="66">
        <v>2</v>
      </c>
      <c r="B135" s="78" t="s">
        <v>144</v>
      </c>
      <c r="C135" s="78"/>
      <c r="D135" s="78"/>
      <c r="E135" s="78"/>
      <c r="F135" s="78"/>
      <c r="G135" s="62" t="s">
        <v>145</v>
      </c>
      <c r="H135" s="52" t="s">
        <v>146</v>
      </c>
    </row>
    <row r="136" spans="1:8" ht="80.099999999999994" customHeight="1">
      <c r="A136" s="66">
        <v>3</v>
      </c>
      <c r="B136" s="78" t="s">
        <v>147</v>
      </c>
      <c r="C136" s="78"/>
      <c r="D136" s="78"/>
      <c r="E136" s="78"/>
      <c r="F136" s="78"/>
      <c r="G136" s="62" t="s">
        <v>148</v>
      </c>
      <c r="H136" s="52" t="s">
        <v>149</v>
      </c>
    </row>
    <row r="137" spans="1:8" ht="87.75" customHeight="1">
      <c r="A137" s="66">
        <v>4</v>
      </c>
      <c r="B137" s="76" t="s">
        <v>150</v>
      </c>
      <c r="C137" s="76"/>
      <c r="D137" s="76"/>
      <c r="E137" s="76"/>
      <c r="F137" s="76"/>
      <c r="G137" s="62" t="s">
        <v>148</v>
      </c>
      <c r="H137" s="52" t="s">
        <v>151</v>
      </c>
    </row>
    <row r="138" spans="1:8" ht="93" customHeight="1">
      <c r="A138" s="66">
        <v>5</v>
      </c>
      <c r="B138" s="76" t="s">
        <v>152</v>
      </c>
      <c r="C138" s="76"/>
      <c r="D138" s="76"/>
      <c r="E138" s="76"/>
      <c r="F138" s="76"/>
      <c r="G138" s="67" t="s">
        <v>153</v>
      </c>
      <c r="H138" s="52" t="s">
        <v>154</v>
      </c>
    </row>
    <row r="139" spans="1:8" ht="96.75" customHeight="1">
      <c r="A139" s="66">
        <v>6</v>
      </c>
      <c r="B139" s="76" t="s">
        <v>155</v>
      </c>
      <c r="C139" s="76"/>
      <c r="D139" s="76"/>
      <c r="E139" s="76"/>
      <c r="F139" s="76"/>
      <c r="G139" s="62" t="s">
        <v>156</v>
      </c>
      <c r="H139" s="52" t="s">
        <v>157</v>
      </c>
    </row>
    <row r="140" spans="1:8" ht="93" customHeight="1">
      <c r="A140" s="66">
        <v>7</v>
      </c>
      <c r="B140" s="76" t="s">
        <v>158</v>
      </c>
      <c r="C140" s="76"/>
      <c r="D140" s="76"/>
      <c r="E140" s="76"/>
      <c r="F140" s="76"/>
      <c r="G140" s="62" t="s">
        <v>159</v>
      </c>
      <c r="H140" s="52" t="s">
        <v>160</v>
      </c>
    </row>
    <row r="141" spans="1:8" ht="80.099999999999994" customHeight="1">
      <c r="A141" s="66">
        <v>8</v>
      </c>
      <c r="B141" s="78" t="s">
        <v>161</v>
      </c>
      <c r="C141" s="78"/>
      <c r="D141" s="78"/>
      <c r="E141" s="78"/>
      <c r="F141" s="78"/>
      <c r="G141" s="62" t="s">
        <v>145</v>
      </c>
      <c r="H141" s="52" t="s">
        <v>146</v>
      </c>
    </row>
    <row r="142" spans="1:8" ht="80.099999999999994" customHeight="1">
      <c r="A142" s="66">
        <v>9</v>
      </c>
      <c r="B142" s="78" t="s">
        <v>162</v>
      </c>
      <c r="C142" s="78"/>
      <c r="D142" s="78"/>
      <c r="E142" s="78"/>
      <c r="F142" s="78"/>
      <c r="G142" s="62">
        <v>2</v>
      </c>
      <c r="H142" s="52" t="s">
        <v>163</v>
      </c>
    </row>
    <row r="143" spans="1:8" ht="80.099999999999994" customHeight="1">
      <c r="A143" s="66">
        <v>10</v>
      </c>
      <c r="B143" s="78" t="s">
        <v>164</v>
      </c>
      <c r="C143" s="78"/>
      <c r="D143" s="78"/>
      <c r="E143" s="78"/>
      <c r="F143" s="78"/>
      <c r="G143" s="62">
        <v>1</v>
      </c>
      <c r="H143" s="52" t="s">
        <v>165</v>
      </c>
    </row>
    <row r="144" spans="1:8">
      <c r="B144" s="82"/>
      <c r="C144" s="82"/>
      <c r="D144" s="82"/>
      <c r="E144" s="82"/>
      <c r="F144" s="82"/>
      <c r="G144" s="16"/>
      <c r="H144" s="52" t="s">
        <v>166</v>
      </c>
    </row>
    <row r="145" spans="1:8">
      <c r="B145" s="82"/>
      <c r="C145" s="82"/>
      <c r="D145" s="82"/>
      <c r="E145" s="82"/>
      <c r="F145" s="82"/>
      <c r="G145" s="16"/>
      <c r="H145" s="52" t="s">
        <v>167</v>
      </c>
    </row>
    <row r="146" spans="1:8">
      <c r="B146" s="82"/>
      <c r="C146" s="82"/>
      <c r="D146" s="82"/>
      <c r="E146" s="82"/>
      <c r="F146" s="82"/>
      <c r="G146" s="16"/>
      <c r="H146" s="52" t="s">
        <v>168</v>
      </c>
    </row>
    <row r="147" spans="1:8" ht="80.099999999999994" customHeight="1">
      <c r="A147" s="66">
        <v>11</v>
      </c>
      <c r="B147" s="78" t="s">
        <v>169</v>
      </c>
      <c r="C147" s="78"/>
      <c r="D147" s="78"/>
      <c r="E147" s="78"/>
      <c r="F147" s="78"/>
      <c r="G147" s="62" t="s">
        <v>145</v>
      </c>
      <c r="H147" s="52" t="s">
        <v>146</v>
      </c>
    </row>
    <row r="148" spans="1:8" ht="80.099999999999994" customHeight="1">
      <c r="A148" s="66">
        <v>12</v>
      </c>
      <c r="B148" s="83" t="s">
        <v>170</v>
      </c>
      <c r="C148" s="78"/>
      <c r="D148" s="78"/>
      <c r="E148" s="78"/>
      <c r="F148" s="78"/>
      <c r="G148" s="62" t="s">
        <v>171</v>
      </c>
      <c r="H148" s="52" t="s">
        <v>146</v>
      </c>
    </row>
    <row r="149" spans="1:8" ht="80.099999999999994" customHeight="1">
      <c r="A149" s="66">
        <v>13</v>
      </c>
      <c r="B149" s="78" t="s">
        <v>172</v>
      </c>
      <c r="C149" s="78"/>
      <c r="D149" s="78"/>
      <c r="E149" s="78"/>
      <c r="F149" s="78"/>
      <c r="G149" s="62">
        <v>35</v>
      </c>
      <c r="H149" s="30" t="s">
        <v>173</v>
      </c>
    </row>
    <row r="150" spans="1:8" ht="80.099999999999994" customHeight="1">
      <c r="A150" s="66">
        <v>14</v>
      </c>
      <c r="B150" s="78" t="s">
        <v>174</v>
      </c>
      <c r="C150" s="78"/>
      <c r="D150" s="78"/>
      <c r="E150" s="78"/>
      <c r="F150" s="78"/>
      <c r="G150" s="68">
        <v>45669</v>
      </c>
      <c r="H150" s="30" t="s">
        <v>175</v>
      </c>
    </row>
    <row r="153" spans="1:8">
      <c r="C153" s="60"/>
    </row>
    <row r="154" spans="1:8">
      <c r="C154" s="60"/>
    </row>
    <row r="155" spans="1:8">
      <c r="C155" s="60"/>
    </row>
    <row r="156" spans="1:8">
      <c r="C156" s="60"/>
    </row>
    <row r="157" spans="1:8">
      <c r="C157" s="60"/>
    </row>
    <row r="158" spans="1:8">
      <c r="C158" s="60"/>
    </row>
    <row r="159" spans="1:8">
      <c r="C159" s="60"/>
    </row>
    <row r="160" spans="1:8">
      <c r="C160" s="60"/>
    </row>
    <row r="161" spans="3:3">
      <c r="C161" s="60"/>
    </row>
    <row r="162" spans="3:3">
      <c r="C162" s="60"/>
    </row>
  </sheetData>
  <mergeCells count="24">
    <mergeCell ref="B146:F146"/>
    <mergeCell ref="B147:F147"/>
    <mergeCell ref="B148:F148"/>
    <mergeCell ref="B149:F149"/>
    <mergeCell ref="B150:F150"/>
    <mergeCell ref="B141:F141"/>
    <mergeCell ref="B142:F142"/>
    <mergeCell ref="B143:F143"/>
    <mergeCell ref="B144:F144"/>
    <mergeCell ref="B145:F145"/>
    <mergeCell ref="B140:F140"/>
    <mergeCell ref="B59:H59"/>
    <mergeCell ref="B138:F138"/>
    <mergeCell ref="B134:F134"/>
    <mergeCell ref="B135:F135"/>
    <mergeCell ref="B136:F136"/>
    <mergeCell ref="B137:F137"/>
    <mergeCell ref="B139:F139"/>
    <mergeCell ref="B133:F133"/>
    <mergeCell ref="H25:I25"/>
    <mergeCell ref="B3:C3"/>
    <mergeCell ref="B12:D12"/>
    <mergeCell ref="D25:E25"/>
    <mergeCell ref="F25:G25"/>
  </mergeCells>
  <pageMargins left="0.25" right="0.25" top="0.75" bottom="0.75" header="0.3" footer="0.3"/>
  <pageSetup paperSize="9" scale="19" fitToHeight="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AE9A76097B6E4C924814A445FB972E" ma:contentTypeVersion="19" ma:contentTypeDescription="Create a new document." ma:contentTypeScope="" ma:versionID="713f8285d46e5bd658ab0f4141c0341b">
  <xsd:schema xmlns:xsd="http://www.w3.org/2001/XMLSchema" xmlns:xs="http://www.w3.org/2001/XMLSchema" xmlns:p="http://schemas.microsoft.com/office/2006/metadata/properties" xmlns:ns2="da2e3d23-4337-4f87-88cd-70462897a59d" xmlns:ns3="864b06f0-bbb2-4067-b8f1-8afef525fe19" targetNamespace="http://schemas.microsoft.com/office/2006/metadata/properties" ma:root="true" ma:fieldsID="fcbdcb38aa4a99a2e581eadce4103ca4" ns2:_="" ns3:_="">
    <xsd:import namespace="da2e3d23-4337-4f87-88cd-70462897a59d"/>
    <xsd:import namespace="864b06f0-bbb2-4067-b8f1-8afef525f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e3d23-4337-4f87-88cd-70462897a5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ed2902-ab02-4b8b-99d3-088113d180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b06f0-bbb2-4067-b8f1-8afef525f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e307c3e-3d7b-49b2-83b1-c425a87bd0ef}" ma:internalName="TaxCatchAll" ma:showField="CatchAllData" ma:web="864b06f0-bbb2-4067-b8f1-8afef525f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2e3d23-4337-4f87-88cd-70462897a59d">
      <Terms xmlns="http://schemas.microsoft.com/office/infopath/2007/PartnerControls"/>
    </lcf76f155ced4ddcb4097134ff3c332f>
    <TaxCatchAll xmlns="864b06f0-bbb2-4067-b8f1-8afef525fe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1A51F-70FE-4306-B480-7ECC77469E13}"/>
</file>

<file path=customXml/itemProps2.xml><?xml version="1.0" encoding="utf-8"?>
<ds:datastoreItem xmlns:ds="http://schemas.openxmlformats.org/officeDocument/2006/customXml" ds:itemID="{ECBF8F36-8D4E-4D8D-8960-C1A68DF6A616}"/>
</file>

<file path=customXml/itemProps3.xml><?xml version="1.0" encoding="utf-8"?>
<ds:datastoreItem xmlns:ds="http://schemas.openxmlformats.org/officeDocument/2006/customXml" ds:itemID="{53ECB378-8409-4455-B426-A4A5EB5D6FA2}"/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Pawel Ciach</dc:creator>
  <cp:keywords/>
  <dc:description/>
  <cp:lastModifiedBy>Steffan Thomas</cp:lastModifiedBy>
  <cp:revision/>
  <dcterms:created xsi:type="dcterms:W3CDTF">2026-01-07T08:43:42Z</dcterms:created>
  <dcterms:modified xsi:type="dcterms:W3CDTF">2026-02-08T15:03:44Z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0x010100C7AE9A76097B6E4C924814A445FB972E</vt:lpwstr>
  </property>
</Properties>
</file>